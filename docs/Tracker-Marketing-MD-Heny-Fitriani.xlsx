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Referral" sheetId="3" state="visible" r:id="rId3"/>
    <sheet xmlns:r="http://schemas.openxmlformats.org/officeDocument/2006/relationships" name="Harian" sheetId="4" state="visible" r:id="rId4"/>
    <sheet xmlns:r="http://schemas.openxmlformats.org/officeDocument/2006/relationships" name="Mingguan" sheetId="5" state="visible" r:id="rId5"/>
    <sheet xmlns:r="http://schemas.openxmlformats.org/officeDocument/2006/relationships" name="Bulanan" sheetId="6" state="visible" r:id="rId6"/>
    <sheet xmlns:r="http://schemas.openxmlformats.org/officeDocument/2006/relationships" name="Rekap" sheetId="7" state="visible" r:id="rId7"/>
  </sheets>
  <definedNames>
    <definedName name="_xlnm._FilterDatabase" localSheetId="1" hidden="1">'Anggota'!$A$4:$R$16</definedName>
    <definedName name="_xlnm._FilterDatabase" localSheetId="3" hidden="1">'Harian'!$A$4:$O$16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6">
    <font>
      <name val="Calibri"/>
      <family val="2"/>
      <color theme="1"/>
      <sz val="11"/>
      <scheme val="minor"/>
    </font>
    <font>
      <name val="Georgia"/>
      <b val="1"/>
      <color rgb="000D4F35"/>
      <sz val="14"/>
    </font>
    <font>
      <i val="1"/>
      <color rgb="00C0392B"/>
    </font>
    <font>
      <name val="Calibri"/>
      <b val="1"/>
      <color rgb="00FFFFFF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0D4F35"/>
      </patternFill>
    </fill>
    <fill>
      <patternFill patternType="solid">
        <fgColor rgb="00FFF8E1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9" fontId="0" fillId="4" borderId="1" applyAlignment="1" pivotButton="0" quotePrefix="0" xfId="0">
      <alignment vertical="top" wrapText="1"/>
    </xf>
    <xf numFmtId="0" fontId="0" fillId="0" borderId="1" pivotButton="0" quotePrefix="0" xfId="0"/>
    <xf numFmtId="0" fontId="0" fillId="3" borderId="1" pivotButton="0" quotePrefix="0" xfId="0"/>
    <xf numFmtId="9" fontId="0" fillId="3" borderId="1" pivotButton="0" quotePrefix="0" xfId="0"/>
    <xf numFmtId="0" fontId="4" fillId="0" borderId="0" pivotButton="0" quotePrefix="0" xfId="0"/>
    <xf numFmtId="165" fontId="0" fillId="3" borderId="1" pivotButton="0" quotePrefix="0" xfId="0"/>
    <xf numFmtId="165" fontId="0" fillId="3" borderId="0" pivotButton="0" quotePrefix="0" xfId="0"/>
    <xf numFmtId="9" fontId="0" fillId="0" borderId="1" pivotButton="0" quotePrefix="0" xfId="0"/>
    <xf numFmtId="0" fontId="5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bgColor rgb="00C6EFCE"/>
        </patternFill>
      </fill>
    </dxf>
    <dxf>
      <fill>
        <patternFill patternType="solid">
          <bgColor rgb="00FFEB9C"/>
        </patternFill>
      </fill>
    </dxf>
    <dxf>
      <fill>
        <patternFill patternType="solid">
          <bgColor rgb="00FFC7CE"/>
        </patternFill>
      </fill>
    </dxf>
    <dxf>
      <fill>
        <patternFill patternType="solid">
          <bgColor rgb="00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TRACKER MARKETING – MD HENY FITRIANI</t>
        </is>
      </c>
    </row>
    <row r="2">
      <c r="A2" s="2" t="inlineStr">
        <is>
          <t>⚠ DATA DUMMY untuk contoh. Hapus &amp; ganti dengan data asli sebelum dipakai.</t>
        </is>
      </c>
    </row>
    <row r="4">
      <c r="A4" t="inlineStr">
        <is>
          <t>Tanur Muthmainnah Tour • Easy Umrah &amp; Easy Hajj</t>
        </is>
      </c>
    </row>
    <row r="5">
      <c r="A5" t="inlineStr"/>
    </row>
    <row r="6">
      <c r="A6" t="inlineStr">
        <is>
          <t>Sheet:</t>
        </is>
      </c>
    </row>
    <row r="7">
      <c r="A7" t="inlineStr">
        <is>
          <t>1. Anggota – tracker per BM/BC/ES: status, target vs realisasi, aktivitas, kendala, solusi, PJ, deadline.</t>
        </is>
      </c>
    </row>
    <row r="8">
      <c r="A8" t="inlineStr">
        <is>
          <t>2. Referral – proyeksi vs realisasi jaringan BM/BC (TERPISAH dari Direct Selling).</t>
        </is>
      </c>
    </row>
    <row r="9">
      <c r="A9" t="inlineStr">
        <is>
          <t>3. Bulanan – target per bulan sampai Syawal; total otomatis = DS + Referral (anti hitung ganda).</t>
        </is>
      </c>
    </row>
    <row r="10">
      <c r="A10" t="inlineStr">
        <is>
          <t>4. Harian – laporan harian ES/BC/BM (diisi tiap hari), rekap mingguan otomatis di sheet Mingguan.</t>
        </is>
      </c>
    </row>
    <row r="11">
      <c r="A11" t="inlineStr">
        <is>
          <t>5. Mingguan – rekap otomatis per anggota dari sheet Harian (rumus).</t>
        </is>
      </c>
    </row>
    <row r="12">
      <c r="A12" t="inlineStr">
        <is>
          <t>6. Rekap – ringkasan otomatis jumlah anggota per status (rumus, jangan diubah).</t>
        </is>
      </c>
    </row>
    <row r="13">
      <c r="A13" t="inlineStr"/>
    </row>
    <row r="14">
      <c r="A14" t="inlineStr">
        <is>
          <t>Aturan:</t>
        </is>
      </c>
    </row>
    <row r="15">
      <c r="A15" t="inlineStr">
        <is>
          <t>• Isi hanya sel berlatar krem. Kolom abu/rumus otomatis.</t>
        </is>
      </c>
    </row>
    <row r="16">
      <c r="A16" t="inlineStr">
        <is>
          <t>• Status: Aktif - Capai Target / Aktif - Belum Capai / Tidak Aktif / Aktivasi Ulang.</t>
        </is>
      </c>
    </row>
    <row r="17">
      <c r="A17" t="inlineStr">
        <is>
          <t>• 1 transaksi jamaah hanya dicatat sekali: di Direct Selling ATAU Referral sesuai atribusi perusahaan.</t>
        </is>
      </c>
    </row>
    <row r="18">
      <c r="A18" t="inlineStr">
        <is>
          <t>• Jabatan: BM, BC, ES. Atasan diisi nama BM/BC langsung.</t>
        </is>
      </c>
    </row>
    <row r="19">
      <c r="A19" t="inlineStr">
        <is>
          <t>• Kolom 'Evaluasi Ulang' wajib diisi untuk anggota belum capai / tidak aktif.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9" customWidth="1" min="3" max="3"/>
    <col width="18" customWidth="1" min="4" max="4"/>
    <col width="22" customWidth="1" min="5" max="5"/>
    <col width="11" customWidth="1" min="6" max="6"/>
    <col width="11" customWidth="1" min="7" max="7"/>
    <col width="9" customWidth="1" min="8" max="8"/>
    <col width="10" customWidth="1" min="9" max="9"/>
    <col width="9" customWidth="1" min="10" max="10"/>
    <col width="10" customWidth="1" min="11" max="11"/>
    <col width="11" customWidth="1" min="12" max="12"/>
    <col width="9" customWidth="1" min="13" max="13"/>
    <col width="11" customWidth="1" min="14" max="14"/>
    <col width="28" customWidth="1" min="15" max="15"/>
    <col width="32" customWidth="1" min="16" max="16"/>
    <col width="14" customWidth="1" min="17" max="17"/>
    <col width="13" customWidth="1" min="18" max="18"/>
  </cols>
  <sheetData>
    <row r="1">
      <c r="A1" s="1" t="inlineStr">
        <is>
          <t>TRACKER PER ANGGOTA (BM • BC • ES)</t>
        </is>
      </c>
    </row>
    <row r="2">
      <c r="A2" s="2" t="inlineStr">
        <is>
          <t>⚠ DATA DUMMY</t>
        </is>
      </c>
    </row>
    <row r="4" ht="42" customHeight="1">
      <c r="A4" s="3" t="inlineStr">
        <is>
          <t>No</t>
        </is>
      </c>
      <c r="B4" s="3" t="inlineStr">
        <is>
          <t>Nama</t>
        </is>
      </c>
      <c r="C4" s="3" t="inlineStr">
        <is>
          <t>Jabatan</t>
        </is>
      </c>
      <c r="D4" s="3" t="inlineStr">
        <is>
          <t>Atasan</t>
        </is>
      </c>
      <c r="E4" s="3" t="inlineStr">
        <is>
          <t>Status</t>
        </is>
      </c>
      <c r="F4" s="3" t="inlineStr">
        <is>
          <t>Target DS (jamaah)</t>
        </is>
      </c>
      <c r="G4" s="3" t="inlineStr">
        <is>
          <t>Realisasi DS</t>
        </is>
      </c>
      <c r="H4" s="3" t="inlineStr">
        <is>
          <t>% Capai</t>
        </is>
      </c>
      <c r="I4" s="3" t="inlineStr">
        <is>
          <t>Prospek Baru</t>
        </is>
      </c>
      <c r="J4" s="3" t="inlineStr">
        <is>
          <t>Calling</t>
        </is>
      </c>
      <c r="K4" s="3" t="inlineStr">
        <is>
          <t>Follow-up</t>
        </is>
      </c>
      <c r="L4" s="3" t="inlineStr">
        <is>
          <t>Presentasi</t>
        </is>
      </c>
      <c r="M4" s="3" t="inlineStr">
        <is>
          <t>Closing</t>
        </is>
      </c>
      <c r="N4" s="3" t="inlineStr">
        <is>
          <t>Lapor Tepat Waktu</t>
        </is>
      </c>
      <c r="O4" s="3" t="inlineStr">
        <is>
          <t>Kendala</t>
        </is>
      </c>
      <c r="P4" s="3" t="inlineStr">
        <is>
          <t>Solusi / Coaching</t>
        </is>
      </c>
      <c r="Q4" s="3" t="inlineStr">
        <is>
          <t>PJ</t>
        </is>
      </c>
      <c r="R4" s="3" t="inlineStr">
        <is>
          <t>Evaluasi Ulang</t>
        </is>
      </c>
    </row>
    <row r="5">
      <c r="A5" s="4" t="n">
        <v>1</v>
      </c>
      <c r="B5" s="5" t="inlineStr">
        <is>
          <t>Rahmat Hidayat</t>
        </is>
      </c>
      <c r="C5" s="5" t="inlineStr">
        <is>
          <t>BM</t>
        </is>
      </c>
      <c r="D5" s="5" t="inlineStr">
        <is>
          <t>MD Heny</t>
        </is>
      </c>
      <c r="E5" s="5" t="inlineStr">
        <is>
          <t>Aktif - Capai Target</t>
        </is>
      </c>
      <c r="F5" s="5" t="n">
        <v>8</v>
      </c>
      <c r="G5" s="5" t="n">
        <v>9</v>
      </c>
      <c r="H5" s="6">
        <f>IF(F5=0,0,G5/F5)</f>
        <v/>
      </c>
      <c r="I5" s="5" t="n">
        <v>30</v>
      </c>
      <c r="J5" s="5" t="n">
        <v>90</v>
      </c>
      <c r="K5" s="5" t="n">
        <v>60</v>
      </c>
      <c r="L5" s="5" t="n">
        <v>70</v>
      </c>
      <c r="M5" s="5" t="n">
        <v>12</v>
      </c>
      <c r="N5" s="5" t="inlineStr">
        <is>
          <t>Ya</t>
        </is>
      </c>
      <c r="O5" s="5" t="inlineStr"/>
      <c r="P5" s="5" t="inlineStr">
        <is>
          <t>Pertahankan; bantu closing BC</t>
        </is>
      </c>
      <c r="Q5" s="5" t="inlineStr">
        <is>
          <t>MD Heny</t>
        </is>
      </c>
      <c r="R5" s="5" t="inlineStr">
        <is>
          <t>-</t>
        </is>
      </c>
    </row>
    <row r="6">
      <c r="A6" s="4" t="n">
        <v>2</v>
      </c>
      <c r="B6" s="5" t="inlineStr">
        <is>
          <t>Siti Aminah</t>
        </is>
      </c>
      <c r="C6" s="5" t="inlineStr">
        <is>
          <t>BC</t>
        </is>
      </c>
      <c r="D6" s="5" t="inlineStr">
        <is>
          <t>Rahmat Hidayat</t>
        </is>
      </c>
      <c r="E6" s="5" t="inlineStr">
        <is>
          <t>Aktif - Belum Capai</t>
        </is>
      </c>
      <c r="F6" s="5" t="n">
        <v>5</v>
      </c>
      <c r="G6" s="5" t="n">
        <v>3</v>
      </c>
      <c r="H6" s="6">
        <f>IF(F6=0,0,G6/F6)</f>
        <v/>
      </c>
      <c r="I6" s="5" t="n">
        <v>22</v>
      </c>
      <c r="J6" s="5" t="n">
        <v>66</v>
      </c>
      <c r="K6" s="5" t="n">
        <v>45</v>
      </c>
      <c r="L6" s="5" t="n">
        <v>48</v>
      </c>
      <c r="M6" s="5" t="n">
        <v>7</v>
      </c>
      <c r="N6" s="5" t="inlineStr">
        <is>
          <t>Ya</t>
        </is>
      </c>
      <c r="O6" s="5" t="inlineStr">
        <is>
          <t>Prospek banyak, closing lambat</t>
        </is>
      </c>
      <c r="P6" s="5" t="inlineStr">
        <is>
          <t>Pendampingan presentasi 2x/minggu</t>
        </is>
      </c>
      <c r="Q6" s="5" t="inlineStr">
        <is>
          <t>Rahmat Hidayat</t>
        </is>
      </c>
      <c r="R6" s="5" t="inlineStr">
        <is>
          <t>30/10/2026</t>
        </is>
      </c>
    </row>
    <row r="7">
      <c r="A7" s="4" t="n">
        <v>3</v>
      </c>
      <c r="B7" s="5" t="inlineStr">
        <is>
          <t>Yusuf Maulana</t>
        </is>
      </c>
      <c r="C7" s="5" t="inlineStr">
        <is>
          <t>BC</t>
        </is>
      </c>
      <c r="D7" s="5" t="inlineStr">
        <is>
          <t>Rahmat Hidayat</t>
        </is>
      </c>
      <c r="E7" s="5" t="inlineStr">
        <is>
          <t>Aktif - Capai Target</t>
        </is>
      </c>
      <c r="F7" s="5" t="n">
        <v>5</v>
      </c>
      <c r="G7" s="5" t="n">
        <v>6</v>
      </c>
      <c r="H7" s="6">
        <f>IF(F7=0,0,G7/F7)</f>
        <v/>
      </c>
      <c r="I7" s="5" t="n">
        <v>25</v>
      </c>
      <c r="J7" s="5" t="n">
        <v>75</v>
      </c>
      <c r="K7" s="5" t="n">
        <v>50</v>
      </c>
      <c r="L7" s="5" t="n">
        <v>55</v>
      </c>
      <c r="M7" s="5" t="n">
        <v>9</v>
      </c>
      <c r="N7" s="5" t="inlineStr">
        <is>
          <t>Ya</t>
        </is>
      </c>
      <c r="O7" s="5" t="inlineStr"/>
      <c r="P7" s="5" t="inlineStr">
        <is>
          <t>Lanjutkan</t>
        </is>
      </c>
      <c r="Q7" s="5" t="inlineStr">
        <is>
          <t>Rahmat Hidayat</t>
        </is>
      </c>
      <c r="R7" s="5" t="inlineStr">
        <is>
          <t>-</t>
        </is>
      </c>
    </row>
    <row r="8">
      <c r="A8" s="4" t="n">
        <v>4</v>
      </c>
      <c r="B8" s="5" t="inlineStr">
        <is>
          <t>Dewi Lestari</t>
        </is>
      </c>
      <c r="C8" s="5" t="inlineStr">
        <is>
          <t>ES</t>
        </is>
      </c>
      <c r="D8" s="5" t="inlineStr">
        <is>
          <t>Siti Aminah</t>
        </is>
      </c>
      <c r="E8" s="5" t="inlineStr">
        <is>
          <t>Aktif - Belum Capai</t>
        </is>
      </c>
      <c r="F8" s="5" t="n">
        <v>3</v>
      </c>
      <c r="G8" s="5" t="n">
        <v>1</v>
      </c>
      <c r="H8" s="6">
        <f>IF(F8=0,0,G8/F8)</f>
        <v/>
      </c>
      <c r="I8" s="5" t="n">
        <v>15</v>
      </c>
      <c r="J8" s="5" t="n">
        <v>45</v>
      </c>
      <c r="K8" s="5" t="n">
        <v>30</v>
      </c>
      <c r="L8" s="5" t="n">
        <v>25</v>
      </c>
      <c r="M8" s="5" t="n">
        <v>3</v>
      </c>
      <c r="N8" s="5" t="inlineStr">
        <is>
          <t>Tidak</t>
        </is>
      </c>
      <c r="O8" s="5" t="inlineStr">
        <is>
          <t>Objeksi harga &amp; kurs SAR</t>
        </is>
      </c>
      <c r="P8" s="5" t="inlineStr">
        <is>
          <t>Skrip jawab objeksi + paket cicilan</t>
        </is>
      </c>
      <c r="Q8" s="5" t="inlineStr">
        <is>
          <t>Siti Aminah</t>
        </is>
      </c>
      <c r="R8" s="5" t="inlineStr">
        <is>
          <t>28/10/2026</t>
        </is>
      </c>
    </row>
    <row r="9">
      <c r="A9" s="4" t="n">
        <v>5</v>
      </c>
      <c r="B9" s="5" t="inlineStr">
        <is>
          <t>Fajar Nugroho</t>
        </is>
      </c>
      <c r="C9" s="5" t="inlineStr">
        <is>
          <t>ES</t>
        </is>
      </c>
      <c r="D9" s="5" t="inlineStr">
        <is>
          <t>Siti Aminah</t>
        </is>
      </c>
      <c r="E9" s="5" t="inlineStr">
        <is>
          <t>Aktif - Belum Capai</t>
        </is>
      </c>
      <c r="F9" s="5" t="n">
        <v>3</v>
      </c>
      <c r="G9" s="5" t="n">
        <v>0</v>
      </c>
      <c r="H9" s="6">
        <f>IF(F9=0,0,G9/F9)</f>
        <v/>
      </c>
      <c r="I9" s="5" t="n">
        <v>6</v>
      </c>
      <c r="J9" s="5" t="n">
        <v>18</v>
      </c>
      <c r="K9" s="5" t="n">
        <v>10</v>
      </c>
      <c r="L9" s="5" t="n">
        <v>8</v>
      </c>
      <c r="M9" s="5" t="n">
        <v>0</v>
      </c>
      <c r="N9" s="5" t="inlineStr">
        <is>
          <t>Tidak</t>
        </is>
      </c>
      <c r="O9" s="5" t="inlineStr">
        <is>
          <t>Waktu terbatas (kerja kantor)</t>
        </is>
      </c>
      <c r="P9" s="5" t="inlineStr">
        <is>
          <t>Target aktivitas ringan 3 bln</t>
        </is>
      </c>
      <c r="Q9" s="5" t="inlineStr">
        <is>
          <t>Siti Aminah</t>
        </is>
      </c>
      <c r="R9" s="5" t="inlineStr">
        <is>
          <t>04/11/2026</t>
        </is>
      </c>
    </row>
    <row r="10">
      <c r="A10" s="4" t="n">
        <v>6</v>
      </c>
      <c r="B10" s="5" t="inlineStr">
        <is>
          <t>Nur Aisyah</t>
        </is>
      </c>
      <c r="C10" s="5" t="inlineStr">
        <is>
          <t>ES</t>
        </is>
      </c>
      <c r="D10" s="5" t="inlineStr">
        <is>
          <t>Siti Aminah</t>
        </is>
      </c>
      <c r="E10" s="5" t="inlineStr">
        <is>
          <t>Aktif - Capai Target</t>
        </is>
      </c>
      <c r="F10" s="5" t="n">
        <v>3</v>
      </c>
      <c r="G10" s="5" t="n">
        <v>3</v>
      </c>
      <c r="H10" s="6">
        <f>IF(F10=0,0,G10/F10)</f>
        <v/>
      </c>
      <c r="I10" s="5" t="n">
        <v>20</v>
      </c>
      <c r="J10" s="5" t="n">
        <v>60</v>
      </c>
      <c r="K10" s="5" t="n">
        <v>35</v>
      </c>
      <c r="L10" s="5" t="n">
        <v>30</v>
      </c>
      <c r="M10" s="5" t="n">
        <v>5</v>
      </c>
      <c r="N10" s="5" t="inlineStr">
        <is>
          <t>Ya</t>
        </is>
      </c>
      <c r="O10" s="5" t="inlineStr"/>
      <c r="P10" s="5" t="inlineStr">
        <is>
          <t>Lanjutkan</t>
        </is>
      </c>
      <c r="Q10" s="5" t="inlineStr">
        <is>
          <t>Siti Aminah</t>
        </is>
      </c>
      <c r="R10" s="5" t="inlineStr">
        <is>
          <t>-</t>
        </is>
      </c>
    </row>
    <row r="11">
      <c r="A11" s="4" t="n">
        <v>7</v>
      </c>
      <c r="B11" s="5" t="inlineStr">
        <is>
          <t>Bima Prakoso</t>
        </is>
      </c>
      <c r="C11" s="5" t="inlineStr">
        <is>
          <t>ES</t>
        </is>
      </c>
      <c r="D11" s="5" t="inlineStr">
        <is>
          <t>Yusuf Maulana</t>
        </is>
      </c>
      <c r="E11" s="5" t="inlineStr">
        <is>
          <t>Aktif - Capai Target</t>
        </is>
      </c>
      <c r="F11" s="5" t="n">
        <v>3</v>
      </c>
      <c r="G11" s="5" t="n">
        <v>4</v>
      </c>
      <c r="H11" s="6">
        <f>IF(F11=0,0,G11/F11)</f>
        <v/>
      </c>
      <c r="I11" s="5" t="n">
        <v>18</v>
      </c>
      <c r="J11" s="5" t="n">
        <v>54</v>
      </c>
      <c r="K11" s="5" t="n">
        <v>32</v>
      </c>
      <c r="L11" s="5" t="n">
        <v>28</v>
      </c>
      <c r="M11" s="5" t="n">
        <v>6</v>
      </c>
      <c r="N11" s="5" t="inlineStr">
        <is>
          <t>Ya</t>
        </is>
      </c>
      <c r="O11" s="5" t="inlineStr"/>
      <c r="P11" s="5" t="inlineStr">
        <is>
          <t>Lanjutkan</t>
        </is>
      </c>
      <c r="Q11" s="5" t="inlineStr">
        <is>
          <t>Yusuf Maulana</t>
        </is>
      </c>
      <c r="R11" s="5" t="inlineStr">
        <is>
          <t>-</t>
        </is>
      </c>
    </row>
    <row r="12">
      <c r="A12" s="4" t="n">
        <v>8</v>
      </c>
      <c r="B12" s="5" t="inlineStr">
        <is>
          <t>Ratna Sari</t>
        </is>
      </c>
      <c r="C12" s="5" t="inlineStr">
        <is>
          <t>ES</t>
        </is>
      </c>
      <c r="D12" s="5" t="inlineStr">
        <is>
          <t>Yusuf Maulana</t>
        </is>
      </c>
      <c r="E12" s="5" t="inlineStr">
        <is>
          <t>Tidak Aktif</t>
        </is>
      </c>
      <c r="F12" s="5" t="n">
        <v>3</v>
      </c>
      <c r="G12" s="5" t="n">
        <v>0</v>
      </c>
      <c r="H12" s="6">
        <f>IF(F12=0,0,G12/F12)</f>
        <v/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inlineStr">
        <is>
          <t>Tidak</t>
        </is>
      </c>
      <c r="O12" s="5" t="inlineStr">
        <is>
          <t>Tidak respon 3 minggu</t>
        </is>
      </c>
      <c r="P12" s="5" t="inlineStr">
        <is>
          <t>Telepon langsung + tawarkan aktivasi</t>
        </is>
      </c>
      <c r="Q12" s="5" t="inlineStr">
        <is>
          <t>Yusuf Maulana</t>
        </is>
      </c>
      <c r="R12" s="5" t="inlineStr">
        <is>
          <t>25/10/2026</t>
        </is>
      </c>
    </row>
    <row r="13">
      <c r="A13" s="4" t="n">
        <v>9</v>
      </c>
      <c r="B13" s="5" t="inlineStr">
        <is>
          <t>Imam Syafii</t>
        </is>
      </c>
      <c r="C13" s="5" t="inlineStr">
        <is>
          <t>ES</t>
        </is>
      </c>
      <c r="D13" s="5" t="inlineStr">
        <is>
          <t>Yusuf Maulana</t>
        </is>
      </c>
      <c r="E13" s="5" t="inlineStr">
        <is>
          <t>Aktif - Belum Capai</t>
        </is>
      </c>
      <c r="F13" s="5" t="n">
        <v>3</v>
      </c>
      <c r="G13" s="5" t="n">
        <v>1</v>
      </c>
      <c r="H13" s="6">
        <f>IF(F13=0,0,G13/F13)</f>
        <v/>
      </c>
      <c r="I13" s="5" t="n">
        <v>12</v>
      </c>
      <c r="J13" s="5" t="n">
        <v>36</v>
      </c>
      <c r="K13" s="5" t="n">
        <v>20</v>
      </c>
      <c r="L13" s="5" t="n">
        <v>18</v>
      </c>
      <c r="M13" s="5" t="n">
        <v>2</v>
      </c>
      <c r="N13" s="5" t="inlineStr">
        <is>
          <t>Tidak</t>
        </is>
      </c>
      <c r="O13" s="5" t="inlineStr">
        <is>
          <t>Database prospek sedikit</t>
        </is>
      </c>
      <c r="P13" s="5" t="inlineStr">
        <is>
          <t>Training mencari prospek &amp; referral</t>
        </is>
      </c>
      <c r="Q13" s="5" t="inlineStr">
        <is>
          <t>Yusuf Maulana</t>
        </is>
      </c>
      <c r="R13" s="5" t="inlineStr">
        <is>
          <t>01/11/2026</t>
        </is>
      </c>
    </row>
    <row r="14">
      <c r="A14" s="4" t="n">
        <v>10</v>
      </c>
      <c r="B14" s="5" t="inlineStr">
        <is>
          <t>Lina Marlina</t>
        </is>
      </c>
      <c r="C14" s="5" t="inlineStr">
        <is>
          <t>BC</t>
        </is>
      </c>
      <c r="D14" s="5" t="inlineStr">
        <is>
          <t>Rahmat Hidayat</t>
        </is>
      </c>
      <c r="E14" s="5" t="inlineStr">
        <is>
          <t>Aktif - Belum Capai</t>
        </is>
      </c>
      <c r="F14" s="5" t="n">
        <v>5</v>
      </c>
      <c r="G14" s="5" t="n">
        <v>2</v>
      </c>
      <c r="H14" s="6">
        <f>IF(F14=0,0,G14/F14)</f>
        <v/>
      </c>
      <c r="I14" s="5" t="n">
        <v>14</v>
      </c>
      <c r="J14" s="5" t="n">
        <v>42</v>
      </c>
      <c r="K14" s="5" t="n">
        <v>28</v>
      </c>
      <c r="L14" s="5" t="n">
        <v>22</v>
      </c>
      <c r="M14" s="5" t="n">
        <v>4</v>
      </c>
      <c r="N14" s="5" t="inlineStr">
        <is>
          <t>Tidak</t>
        </is>
      </c>
      <c r="O14" s="5" t="inlineStr">
        <is>
          <t>Fokus tim, penjualan pribadi turun</t>
        </is>
      </c>
      <c r="P14" s="5" t="inlineStr">
        <is>
          <t>Jadwal blok jualan pribadi</t>
        </is>
      </c>
      <c r="Q14" s="5" t="inlineStr">
        <is>
          <t>Rahmat Hidayat</t>
        </is>
      </c>
      <c r="R14" s="5" t="inlineStr">
        <is>
          <t>30/10/2026</t>
        </is>
      </c>
    </row>
    <row r="15">
      <c r="A15" s="4" t="n">
        <v>11</v>
      </c>
      <c r="B15" s="5" t="inlineStr">
        <is>
          <t>Hasan Basri</t>
        </is>
      </c>
      <c r="C15" s="5" t="inlineStr">
        <is>
          <t>ES</t>
        </is>
      </c>
      <c r="D15" s="5" t="inlineStr">
        <is>
          <t>Lina Marlina</t>
        </is>
      </c>
      <c r="E15" s="5" t="inlineStr">
        <is>
          <t>Aktivasi Ulang</t>
        </is>
      </c>
      <c r="F15" s="5" t="n">
        <v>3</v>
      </c>
      <c r="G15" s="5" t="n">
        <v>0</v>
      </c>
      <c r="H15" s="6">
        <f>IF(F15=0,0,G15/F15)</f>
        <v/>
      </c>
      <c r="I15" s="5" t="n">
        <v>2</v>
      </c>
      <c r="J15" s="5" t="n">
        <v>6</v>
      </c>
      <c r="K15" s="5" t="n">
        <v>4</v>
      </c>
      <c r="L15" s="5" t="n">
        <v>3</v>
      </c>
      <c r="M15" s="5" t="n">
        <v>0</v>
      </c>
      <c r="N15" s="5" t="inlineStr">
        <is>
          <t>Tidak</t>
        </is>
      </c>
      <c r="O15" s="5" t="inlineStr">
        <is>
          <t>Finansial/motivasi</t>
        </is>
      </c>
      <c r="P15" s="5" t="inlineStr">
        <is>
          <t>Komunikasi pribadi, evaluasi komitmen</t>
        </is>
      </c>
      <c r="Q15" s="5" t="inlineStr">
        <is>
          <t>Lina Marlina</t>
        </is>
      </c>
      <c r="R15" s="5" t="inlineStr">
        <is>
          <t>27/10/2026</t>
        </is>
      </c>
    </row>
    <row r="16">
      <c r="A16" s="4" t="n">
        <v>12</v>
      </c>
      <c r="B16" s="5" t="inlineStr">
        <is>
          <t>Wulan Ningsih</t>
        </is>
      </c>
      <c r="C16" s="5" t="inlineStr">
        <is>
          <t>ES</t>
        </is>
      </c>
      <c r="D16" s="5" t="inlineStr">
        <is>
          <t>Lina Marlina</t>
        </is>
      </c>
      <c r="E16" s="5" t="inlineStr">
        <is>
          <t>Aktif - Belum Capai</t>
        </is>
      </c>
      <c r="F16" s="5" t="n">
        <v>3</v>
      </c>
      <c r="G16" s="5" t="n">
        <v>2</v>
      </c>
      <c r="H16" s="6">
        <f>IF(F16=0,0,G16/F16)</f>
        <v/>
      </c>
      <c r="I16" s="5" t="n">
        <v>10</v>
      </c>
      <c r="J16" s="5" t="n">
        <v>30</v>
      </c>
      <c r="K16" s="5" t="n">
        <v>22</v>
      </c>
      <c r="L16" s="5" t="n">
        <v>18</v>
      </c>
      <c r="M16" s="5" t="n">
        <v>3</v>
      </c>
      <c r="N16" s="5" t="inlineStr">
        <is>
          <t>Ya</t>
        </is>
      </c>
      <c r="O16" s="5" t="inlineStr">
        <is>
          <t>Konsistensi laporan</t>
        </is>
      </c>
      <c r="P16" s="5" t="inlineStr">
        <is>
          <t>Reminder harian pukul 19.00</t>
        </is>
      </c>
      <c r="Q16" s="5" t="inlineStr">
        <is>
          <t>Lina Marlina</t>
        </is>
      </c>
      <c r="R16" s="5" t="inlineStr">
        <is>
          <t>02/11/2026</t>
        </is>
      </c>
    </row>
  </sheetData>
  <autoFilter ref="A4:R16"/>
  <conditionalFormatting sqref="E5:E204">
    <cfRule type="expression" priority="1" dxfId="0">
      <formula>E5="Aktif - Capai Target"</formula>
    </cfRule>
    <cfRule type="expression" priority="2" dxfId="1">
      <formula>E5="Aktif - Belum Capai"</formula>
    </cfRule>
    <cfRule type="expression" priority="3" dxfId="2">
      <formula>E5="Tidak Aktif"</formula>
    </cfRule>
    <cfRule type="expression" priority="4" dxfId="3">
      <formula>E5="Aktivasi Ulang"</formula>
    </cfRule>
  </conditionalFormatting>
  <dataValidations count="3">
    <dataValidation sqref="E5:E204" showDropDown="0" showInputMessage="0" showErrorMessage="0" allowBlank="1" type="list">
      <formula1>"Aktif - Capai Target,Aktif - Belum Capai,Tidak Aktif,Aktivasi Ulang"</formula1>
    </dataValidation>
    <dataValidation sqref="C5:C204" showDropDown="0" showInputMessage="0" showErrorMessage="0" allowBlank="1" type="list">
      <formula1>"BM,BC,ES"</formula1>
    </dataValidation>
    <dataValidation sqref="N5:N204" showDropDown="0" showInputMessage="0" showErrorMessage="0" allowBlank="1" type="list">
      <formula1>"Ya,Tidak"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9" customWidth="1" min="3" max="3"/>
    <col width="13" customWidth="1" min="4" max="4"/>
    <col width="13" customWidth="1" min="5" max="5"/>
    <col width="13" customWidth="1" min="6" max="6"/>
    <col width="12" customWidth="1" min="7" max="7"/>
    <col width="12" customWidth="1" min="8" max="8"/>
    <col width="12" customWidth="1" min="9" max="9"/>
    <col width="9" customWidth="1" min="10" max="10"/>
    <col width="40" customWidth="1" min="11" max="11"/>
  </cols>
  <sheetData>
    <row r="1">
      <c r="A1" s="1" t="inlineStr">
        <is>
          <t>REFERRAL PROJECTION (BM &amp; BC) – terpisah dari Direct Selling</t>
        </is>
      </c>
    </row>
    <row r="2">
      <c r="A2" s="2" t="inlineStr">
        <is>
          <t>⚠ DATA DUMMY</t>
        </is>
      </c>
    </row>
    <row r="4" ht="42" customHeight="1">
      <c r="A4" s="3" t="inlineStr">
        <is>
          <t>No</t>
        </is>
      </c>
      <c r="B4" s="3" t="inlineStr">
        <is>
          <t>PIC</t>
        </is>
      </c>
      <c r="C4" s="3" t="inlineStr">
        <is>
          <t>Jabatan</t>
        </is>
      </c>
      <c r="D4" s="3" t="inlineStr">
        <is>
          <t>Jaringan Referral Aktif</t>
        </is>
      </c>
      <c r="E4" s="3" t="inlineStr">
        <is>
          <t>Target Referral Baru</t>
        </is>
      </c>
      <c r="F4" s="3" t="inlineStr">
        <is>
          <t>Prospek dari Jaringan</t>
        </is>
      </c>
      <c r="G4" s="3" t="inlineStr">
        <is>
          <t>Konversi Realistis</t>
        </is>
      </c>
      <c r="H4" s="3" t="inlineStr">
        <is>
          <t>Proyeksi Jamaah</t>
        </is>
      </c>
      <c r="I4" s="3" t="inlineStr">
        <is>
          <t>Realisasi Referral</t>
        </is>
      </c>
      <c r="J4" s="3" t="inlineStr">
        <is>
          <t>Selisih</t>
        </is>
      </c>
      <c r="K4" s="3" t="inlineStr">
        <is>
          <t>Rencana Aktivasi / Pendampingan</t>
        </is>
      </c>
    </row>
    <row r="5">
      <c r="A5" s="7" t="n">
        <v>1</v>
      </c>
      <c r="B5" s="8" t="inlineStr">
        <is>
          <t>Rahmat Hidayat</t>
        </is>
      </c>
      <c r="C5" s="8" t="inlineStr">
        <is>
          <t>BM</t>
        </is>
      </c>
      <c r="D5" s="8" t="n">
        <v>14</v>
      </c>
      <c r="E5" s="8" t="n">
        <v>4</v>
      </c>
      <c r="F5" s="8" t="n">
        <v>60</v>
      </c>
      <c r="G5" s="9" t="n">
        <v>0.1</v>
      </c>
      <c r="H5" s="7">
        <f>ROUND(F5*G5,0)</f>
        <v/>
      </c>
      <c r="I5" s="8" t="n">
        <v>5</v>
      </c>
      <c r="J5" s="7">
        <f>I5-H5</f>
        <v/>
      </c>
      <c r="K5" s="8" t="inlineStr">
        <is>
          <t>Gathering alumni umroh + ustadz mitra</t>
        </is>
      </c>
    </row>
    <row r="6">
      <c r="A6" s="7" t="n">
        <v>2</v>
      </c>
      <c r="B6" s="8" t="inlineStr">
        <is>
          <t>Siti Aminah</t>
        </is>
      </c>
      <c r="C6" s="8" t="inlineStr">
        <is>
          <t>BC</t>
        </is>
      </c>
      <c r="D6" s="8" t="n">
        <v>8</v>
      </c>
      <c r="E6" s="8" t="n">
        <v>3</v>
      </c>
      <c r="F6" s="8" t="n">
        <v>35</v>
      </c>
      <c r="G6" s="9" t="n">
        <v>0.1</v>
      </c>
      <c r="H6" s="7">
        <f>ROUND(F6*G6,0)</f>
        <v/>
      </c>
      <c r="I6" s="8" t="n">
        <v>2</v>
      </c>
      <c r="J6" s="7">
        <f>I6-H6</f>
        <v/>
      </c>
      <c r="K6" s="8" t="inlineStr">
        <is>
          <t>Aktivasi 3 majelis taklim</t>
        </is>
      </c>
    </row>
    <row r="7">
      <c r="A7" s="7" t="n">
        <v>3</v>
      </c>
      <c r="B7" s="8" t="inlineStr">
        <is>
          <t>Yusuf Maulana</t>
        </is>
      </c>
      <c r="C7" s="8" t="inlineStr">
        <is>
          <t>BC</t>
        </is>
      </c>
      <c r="D7" s="8" t="n">
        <v>10</v>
      </c>
      <c r="E7" s="8" t="n">
        <v>3</v>
      </c>
      <c r="F7" s="8" t="n">
        <v>42</v>
      </c>
      <c r="G7" s="9" t="n">
        <v>0.1</v>
      </c>
      <c r="H7" s="7">
        <f>ROUND(F7*G7,0)</f>
        <v/>
      </c>
      <c r="I7" s="8" t="n">
        <v>4</v>
      </c>
      <c r="J7" s="7">
        <f>I7-H7</f>
        <v/>
      </c>
      <c r="K7" s="8" t="inlineStr">
        <is>
          <t>Syiar akbar komunitas</t>
        </is>
      </c>
    </row>
    <row r="8">
      <c r="A8" s="7" t="n">
        <v>4</v>
      </c>
      <c r="B8" s="8" t="inlineStr">
        <is>
          <t>Lina Marlina</t>
        </is>
      </c>
      <c r="C8" s="8" t="inlineStr">
        <is>
          <t>BC</t>
        </is>
      </c>
      <c r="D8" s="8" t="n">
        <v>5</v>
      </c>
      <c r="E8" s="8" t="n">
        <v>2</v>
      </c>
      <c r="F8" s="8" t="n">
        <v>18</v>
      </c>
      <c r="G8" s="9" t="n">
        <v>0.08</v>
      </c>
      <c r="H8" s="7">
        <f>ROUND(F8*G8,0)</f>
        <v/>
      </c>
      <c r="I8" s="8" t="n">
        <v>1</v>
      </c>
      <c r="J8" s="7">
        <f>I8-H8</f>
        <v/>
      </c>
      <c r="K8" s="8" t="inlineStr">
        <is>
          <t>Pendampingan 2 referral aktif</t>
        </is>
      </c>
    </row>
    <row r="9">
      <c r="B9" s="10" t="inlineStr">
        <is>
          <t>TOTAL</t>
        </is>
      </c>
      <c r="D9" s="10">
        <f>SUM(D5:D8)</f>
        <v/>
      </c>
      <c r="E9" s="10">
        <f>SUM(E5:E8)</f>
        <v/>
      </c>
      <c r="F9" s="10">
        <f>SUM(F5:F8)</f>
        <v/>
      </c>
      <c r="H9" s="10">
        <f>SUM(H5:H8)</f>
        <v/>
      </c>
      <c r="I9" s="10">
        <f>SUM(I5:I8)</f>
        <v/>
      </c>
      <c r="J9" s="10">
        <f>SUM(J5:J8)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10" customWidth="1" min="4" max="4"/>
    <col width="10" customWidth="1" min="5" max="5"/>
    <col width="9" customWidth="1" min="6" max="6"/>
    <col width="10" customWidth="1" min="7" max="7"/>
    <col width="9" customWidth="1" min="8" max="8"/>
    <col width="11" customWidth="1" min="9" max="9"/>
    <col width="9" customWidth="1" min="10" max="10"/>
    <col width="12" customWidth="1" min="11" max="11"/>
    <col width="14" customWidth="1" min="12" max="12"/>
    <col width="28" customWidth="1" min="13" max="13"/>
    <col width="28" customWidth="1" min="14" max="14"/>
    <col width="12" customWidth="1" min="15" max="15"/>
  </cols>
  <sheetData>
    <row r="1">
      <c r="A1" s="1" t="inlineStr">
        <is>
          <t>LAPORAN HARIAN (ES → BC → BM)</t>
        </is>
      </c>
    </row>
    <row r="2">
      <c r="A2" s="2" t="inlineStr">
        <is>
          <t>⚠ DATA DUMMY • isi tiap hari, 1 baris per anggota per hari</t>
        </is>
      </c>
    </row>
    <row r="4" ht="42" customHeight="1">
      <c r="A4" s="3" t="inlineStr">
        <is>
          <t>Tanggal</t>
        </is>
      </c>
      <c r="B4" s="3" t="inlineStr">
        <is>
          <t>Nama</t>
        </is>
      </c>
      <c r="C4" s="3" t="inlineStr">
        <is>
          <t>Jabatan</t>
        </is>
      </c>
      <c r="D4" s="3" t="inlineStr">
        <is>
          <t>Target Prospek</t>
        </is>
      </c>
      <c r="E4" s="3" t="inlineStr">
        <is>
          <t>Prospek Baru</t>
        </is>
      </c>
      <c r="F4" s="3" t="inlineStr">
        <is>
          <t>Target FU</t>
        </is>
      </c>
      <c r="G4" s="3" t="inlineStr">
        <is>
          <t>Follow-up</t>
        </is>
      </c>
      <c r="H4" s="3" t="inlineStr">
        <is>
          <t>Calling</t>
        </is>
      </c>
      <c r="I4" s="3" t="inlineStr">
        <is>
          <t>Presentasi</t>
        </is>
      </c>
      <c r="J4" s="3" t="inlineStr">
        <is>
          <t>Closing</t>
        </is>
      </c>
      <c r="K4" s="3" t="inlineStr">
        <is>
          <t>Potensi Closing Dekat</t>
        </is>
      </c>
      <c r="L4" s="3" t="inlineStr">
        <is>
          <t>Digital Marketing (post/konten)</t>
        </is>
      </c>
      <c r="M4" s="3" t="inlineStr">
        <is>
          <t>Kendala</t>
        </is>
      </c>
      <c r="N4" s="3" t="inlineStr">
        <is>
          <t>Rencana Besok</t>
        </is>
      </c>
      <c r="O4" s="3" t="inlineStr">
        <is>
          <t>Lapor ke Atasan (jam)</t>
        </is>
      </c>
    </row>
    <row r="5">
      <c r="A5" s="11" t="n">
        <v>46314</v>
      </c>
      <c r="B5" s="8" t="inlineStr">
        <is>
          <t>Nur Aisyah</t>
        </is>
      </c>
      <c r="C5" s="8" t="inlineStr">
        <is>
          <t>ES</t>
        </is>
      </c>
      <c r="D5" s="8" t="n">
        <v>3</v>
      </c>
      <c r="E5" s="8" t="n">
        <v>3</v>
      </c>
      <c r="F5" s="8" t="n">
        <v>8</v>
      </c>
      <c r="G5" s="8" t="n">
        <v>5</v>
      </c>
      <c r="H5" s="8" t="n">
        <v>14</v>
      </c>
      <c r="I5" s="8" t="n">
        <v>0</v>
      </c>
      <c r="J5" s="8" t="n">
        <v>0</v>
      </c>
      <c r="K5" s="8" t="n">
        <v>2</v>
      </c>
      <c r="L5" s="8" t="n">
        <v>1</v>
      </c>
      <c r="M5" s="8" t="inlineStr">
        <is>
          <t>Prospek belum angkat telp</t>
        </is>
      </c>
      <c r="N5" s="8" t="inlineStr">
        <is>
          <t>FU prospek panas &amp; presentasi</t>
        </is>
      </c>
      <c r="O5" s="8" t="inlineStr">
        <is>
          <t>19.30</t>
        </is>
      </c>
    </row>
    <row r="6">
      <c r="A6" s="11" t="n">
        <v>46314</v>
      </c>
      <c r="B6" s="8" t="inlineStr">
        <is>
          <t>Bima Prakoso</t>
        </is>
      </c>
      <c r="C6" s="8" t="inlineStr">
        <is>
          <t>ES</t>
        </is>
      </c>
      <c r="D6" s="8" t="n">
        <v>3</v>
      </c>
      <c r="E6" s="8" t="n">
        <v>2</v>
      </c>
      <c r="F6" s="8" t="n">
        <v>8</v>
      </c>
      <c r="G6" s="8" t="n">
        <v>4</v>
      </c>
      <c r="H6" s="8" t="n">
        <v>9</v>
      </c>
      <c r="I6" s="8" t="n">
        <v>3</v>
      </c>
      <c r="J6" s="8" t="n">
        <v>1</v>
      </c>
      <c r="K6" s="8" t="n">
        <v>0</v>
      </c>
      <c r="L6" s="8" t="n">
        <v>1</v>
      </c>
      <c r="M6" s="8" t="inlineStr">
        <is>
          <t>Prospek belum angkat telp</t>
        </is>
      </c>
      <c r="N6" s="8" t="inlineStr">
        <is>
          <t>FU prospek panas &amp; presentasi</t>
        </is>
      </c>
      <c r="O6" s="8" t="inlineStr">
        <is>
          <t>20.00</t>
        </is>
      </c>
    </row>
    <row r="7">
      <c r="A7" s="11" t="n">
        <v>46314</v>
      </c>
      <c r="B7" s="8" t="inlineStr">
        <is>
          <t>Dewi Lestari</t>
        </is>
      </c>
      <c r="C7" s="8" t="inlineStr">
        <is>
          <t>ES</t>
        </is>
      </c>
      <c r="D7" s="8" t="n">
        <v>3</v>
      </c>
      <c r="E7" s="8" t="n">
        <v>1</v>
      </c>
      <c r="F7" s="8" t="n">
        <v>8</v>
      </c>
      <c r="G7" s="8" t="n">
        <v>8</v>
      </c>
      <c r="H7" s="8" t="n">
        <v>9</v>
      </c>
      <c r="I7" s="8" t="n">
        <v>1</v>
      </c>
      <c r="J7" s="8" t="n">
        <v>0</v>
      </c>
      <c r="K7" s="8" t="n">
        <v>2</v>
      </c>
      <c r="L7" s="8" t="n">
        <v>3</v>
      </c>
      <c r="M7" s="8" t="inlineStr">
        <is>
          <t>Prospek belum angkat telp</t>
        </is>
      </c>
      <c r="N7" s="8" t="inlineStr">
        <is>
          <t>FU prospek panas &amp; presentasi</t>
        </is>
      </c>
      <c r="O7" s="8" t="inlineStr">
        <is>
          <t>19.30</t>
        </is>
      </c>
    </row>
    <row r="8">
      <c r="A8" s="11" t="n">
        <v>46314</v>
      </c>
      <c r="B8" s="8" t="inlineStr">
        <is>
          <t>Siti Aminah</t>
        </is>
      </c>
      <c r="C8" s="8" t="inlineStr">
        <is>
          <t>BC</t>
        </is>
      </c>
      <c r="D8" s="8" t="n">
        <v>3</v>
      </c>
      <c r="E8" s="8" t="n">
        <v>1</v>
      </c>
      <c r="F8" s="8" t="n">
        <v>8</v>
      </c>
      <c r="G8" s="8" t="n">
        <v>8</v>
      </c>
      <c r="H8" s="8" t="n">
        <v>10</v>
      </c>
      <c r="I8" s="8" t="n">
        <v>2</v>
      </c>
      <c r="J8" s="8" t="n">
        <v>1</v>
      </c>
      <c r="K8" s="8" t="n">
        <v>0</v>
      </c>
      <c r="L8" s="8" t="n">
        <v>3</v>
      </c>
      <c r="M8" s="8" t="inlineStr">
        <is>
          <t>Prospek belum angkat telp</t>
        </is>
      </c>
      <c r="N8" s="8" t="inlineStr">
        <is>
          <t>FU prospek panas &amp; presentasi</t>
        </is>
      </c>
      <c r="O8" s="8" t="inlineStr">
        <is>
          <t>20.00</t>
        </is>
      </c>
    </row>
    <row r="9">
      <c r="A9" s="11" t="n">
        <v>46315</v>
      </c>
      <c r="B9" s="8" t="inlineStr">
        <is>
          <t>Nur Aisyah</t>
        </is>
      </c>
      <c r="C9" s="8" t="inlineStr">
        <is>
          <t>ES</t>
        </is>
      </c>
      <c r="D9" s="8" t="n">
        <v>3</v>
      </c>
      <c r="E9" s="8" t="n">
        <v>2</v>
      </c>
      <c r="F9" s="8" t="n">
        <v>8</v>
      </c>
      <c r="G9" s="8" t="n">
        <v>4</v>
      </c>
      <c r="H9" s="8" t="n">
        <v>11</v>
      </c>
      <c r="I9" s="8" t="n">
        <v>2</v>
      </c>
      <c r="J9" s="8" t="n">
        <v>0</v>
      </c>
      <c r="K9" s="8" t="n">
        <v>2</v>
      </c>
      <c r="L9" s="8" t="n">
        <v>3</v>
      </c>
      <c r="M9" s="8" t="inlineStr">
        <is>
          <t>Prospek belum angkat telp</t>
        </is>
      </c>
      <c r="N9" s="8" t="inlineStr">
        <is>
          <t>FU prospek panas &amp; presentasi</t>
        </is>
      </c>
      <c r="O9" s="8" t="inlineStr">
        <is>
          <t>19.30</t>
        </is>
      </c>
    </row>
    <row r="10">
      <c r="A10" s="11" t="n">
        <v>46315</v>
      </c>
      <c r="B10" s="8" t="inlineStr">
        <is>
          <t>Bima Prakoso</t>
        </is>
      </c>
      <c r="C10" s="8" t="inlineStr">
        <is>
          <t>ES</t>
        </is>
      </c>
      <c r="D10" s="8" t="n">
        <v>3</v>
      </c>
      <c r="E10" s="8" t="n">
        <v>2</v>
      </c>
      <c r="F10" s="8" t="n">
        <v>8</v>
      </c>
      <c r="G10" s="8" t="n">
        <v>7</v>
      </c>
      <c r="H10" s="8" t="n">
        <v>14</v>
      </c>
      <c r="I10" s="8" t="n">
        <v>2</v>
      </c>
      <c r="J10" s="8" t="n">
        <v>1</v>
      </c>
      <c r="K10" s="8" t="n">
        <v>2</v>
      </c>
      <c r="L10" s="8" t="n">
        <v>2</v>
      </c>
      <c r="M10" s="8" t="inlineStr">
        <is>
          <t>Prospek belum angkat telp</t>
        </is>
      </c>
      <c r="N10" s="8" t="inlineStr">
        <is>
          <t>FU prospek panas &amp; presentasi</t>
        </is>
      </c>
      <c r="O10" s="8" t="inlineStr">
        <is>
          <t>19.30</t>
        </is>
      </c>
    </row>
    <row r="11">
      <c r="A11" s="11" t="n">
        <v>46315</v>
      </c>
      <c r="B11" s="8" t="inlineStr">
        <is>
          <t>Dewi Lestari</t>
        </is>
      </c>
      <c r="C11" s="8" t="inlineStr">
        <is>
          <t>ES</t>
        </is>
      </c>
      <c r="D11" s="8" t="n">
        <v>3</v>
      </c>
      <c r="E11" s="8" t="n">
        <v>2</v>
      </c>
      <c r="F11" s="8" t="n">
        <v>8</v>
      </c>
      <c r="G11" s="8" t="n">
        <v>9</v>
      </c>
      <c r="H11" s="8" t="n">
        <v>11</v>
      </c>
      <c r="I11" s="8" t="n">
        <v>0</v>
      </c>
      <c r="J11" s="8" t="n">
        <v>1</v>
      </c>
      <c r="K11" s="8" t="n">
        <v>2</v>
      </c>
      <c r="L11" s="8" t="n">
        <v>2</v>
      </c>
      <c r="M11" s="8" t="inlineStr"/>
      <c r="N11" s="8" t="inlineStr">
        <is>
          <t>FU prospek panas &amp; presentasi</t>
        </is>
      </c>
      <c r="O11" s="8" t="inlineStr">
        <is>
          <t>20.00</t>
        </is>
      </c>
    </row>
    <row r="12">
      <c r="A12" s="11" t="n">
        <v>46315</v>
      </c>
      <c r="B12" s="8" t="inlineStr">
        <is>
          <t>Siti Aminah</t>
        </is>
      </c>
      <c r="C12" s="8" t="inlineStr">
        <is>
          <t>BC</t>
        </is>
      </c>
      <c r="D12" s="8" t="n">
        <v>3</v>
      </c>
      <c r="E12" s="8" t="n">
        <v>3</v>
      </c>
      <c r="F12" s="8" t="n">
        <v>8</v>
      </c>
      <c r="G12" s="8" t="n">
        <v>8</v>
      </c>
      <c r="H12" s="8" t="n">
        <v>9</v>
      </c>
      <c r="I12" s="8" t="n">
        <v>0</v>
      </c>
      <c r="J12" s="8" t="n">
        <v>1</v>
      </c>
      <c r="K12" s="8" t="n">
        <v>0</v>
      </c>
      <c r="L12" s="8" t="n">
        <v>2</v>
      </c>
      <c r="M12" s="8" t="inlineStr">
        <is>
          <t>Prospek belum angkat telp</t>
        </is>
      </c>
      <c r="N12" s="8" t="inlineStr">
        <is>
          <t>FU prospek panas &amp; presentasi</t>
        </is>
      </c>
      <c r="O12" s="8" t="inlineStr">
        <is>
          <t>20.00</t>
        </is>
      </c>
    </row>
    <row r="13">
      <c r="A13" s="11" t="n">
        <v>46316</v>
      </c>
      <c r="B13" s="8" t="inlineStr">
        <is>
          <t>Nur Aisyah</t>
        </is>
      </c>
      <c r="C13" s="8" t="inlineStr">
        <is>
          <t>ES</t>
        </is>
      </c>
      <c r="D13" s="8" t="n">
        <v>3</v>
      </c>
      <c r="E13" s="8" t="n">
        <v>4</v>
      </c>
      <c r="F13" s="8" t="n">
        <v>8</v>
      </c>
      <c r="G13" s="8" t="n">
        <v>4</v>
      </c>
      <c r="H13" s="8" t="n">
        <v>9</v>
      </c>
      <c r="I13" s="8" t="n">
        <v>2</v>
      </c>
      <c r="J13" s="8" t="n">
        <v>1</v>
      </c>
      <c r="K13" s="8" t="n">
        <v>2</v>
      </c>
      <c r="L13" s="8" t="n">
        <v>2</v>
      </c>
      <c r="M13" s="8" t="inlineStr"/>
      <c r="N13" s="8" t="inlineStr">
        <is>
          <t>FU prospek panas &amp; presentasi</t>
        </is>
      </c>
      <c r="O13" s="8" t="inlineStr">
        <is>
          <t>20.00</t>
        </is>
      </c>
    </row>
    <row r="14">
      <c r="A14" s="11" t="n">
        <v>46316</v>
      </c>
      <c r="B14" s="8" t="inlineStr">
        <is>
          <t>Bima Prakoso</t>
        </is>
      </c>
      <c r="C14" s="8" t="inlineStr">
        <is>
          <t>ES</t>
        </is>
      </c>
      <c r="D14" s="8" t="n">
        <v>3</v>
      </c>
      <c r="E14" s="8" t="n">
        <v>1</v>
      </c>
      <c r="F14" s="8" t="n">
        <v>8</v>
      </c>
      <c r="G14" s="8" t="n">
        <v>4</v>
      </c>
      <c r="H14" s="8" t="n">
        <v>12</v>
      </c>
      <c r="I14" s="8" t="n">
        <v>3</v>
      </c>
      <c r="J14" s="8" t="n">
        <v>0</v>
      </c>
      <c r="K14" s="8" t="n">
        <v>0</v>
      </c>
      <c r="L14" s="8" t="n">
        <v>3</v>
      </c>
      <c r="M14" s="8" t="inlineStr"/>
      <c r="N14" s="8" t="inlineStr">
        <is>
          <t>FU prospek panas &amp; presentasi</t>
        </is>
      </c>
      <c r="O14" s="8" t="inlineStr">
        <is>
          <t>20.00</t>
        </is>
      </c>
    </row>
    <row r="15">
      <c r="A15" s="11" t="n">
        <v>46316</v>
      </c>
      <c r="B15" s="8" t="inlineStr">
        <is>
          <t>Dewi Lestari</t>
        </is>
      </c>
      <c r="C15" s="8" t="inlineStr">
        <is>
          <t>ES</t>
        </is>
      </c>
      <c r="D15" s="8" t="n">
        <v>3</v>
      </c>
      <c r="E15" s="8" t="n">
        <v>3</v>
      </c>
      <c r="F15" s="8" t="n">
        <v>8</v>
      </c>
      <c r="G15" s="8" t="n">
        <v>9</v>
      </c>
      <c r="H15" s="8" t="n">
        <v>14</v>
      </c>
      <c r="I15" s="8" t="n">
        <v>2</v>
      </c>
      <c r="J15" s="8" t="n">
        <v>0</v>
      </c>
      <c r="K15" s="8" t="n">
        <v>1</v>
      </c>
      <c r="L15" s="8" t="n">
        <v>2</v>
      </c>
      <c r="M15" s="8" t="inlineStr">
        <is>
          <t>Prospek belum angkat telp</t>
        </is>
      </c>
      <c r="N15" s="8" t="inlineStr">
        <is>
          <t>FU prospek panas &amp; presentasi</t>
        </is>
      </c>
      <c r="O15" s="8" t="inlineStr">
        <is>
          <t>19.30</t>
        </is>
      </c>
    </row>
    <row r="16">
      <c r="A16" s="11" t="n">
        <v>46316</v>
      </c>
      <c r="B16" s="8" t="inlineStr">
        <is>
          <t>Siti Aminah</t>
        </is>
      </c>
      <c r="C16" s="8" t="inlineStr">
        <is>
          <t>BC</t>
        </is>
      </c>
      <c r="D16" s="8" t="n">
        <v>3</v>
      </c>
      <c r="E16" s="8" t="n">
        <v>4</v>
      </c>
      <c r="F16" s="8" t="n">
        <v>8</v>
      </c>
      <c r="G16" s="8" t="n">
        <v>4</v>
      </c>
      <c r="H16" s="8" t="n">
        <v>11</v>
      </c>
      <c r="I16" s="8" t="n">
        <v>2</v>
      </c>
      <c r="J16" s="8" t="n">
        <v>0</v>
      </c>
      <c r="K16" s="8" t="n">
        <v>2</v>
      </c>
      <c r="L16" s="8" t="n">
        <v>1</v>
      </c>
      <c r="M16" s="8" t="inlineStr">
        <is>
          <t>Prospek belum angkat telp</t>
        </is>
      </c>
      <c r="N16" s="8" t="inlineStr">
        <is>
          <t>FU prospek panas &amp; presentasi</t>
        </is>
      </c>
      <c r="O16" s="8" t="inlineStr">
        <is>
          <t>20.00</t>
        </is>
      </c>
    </row>
  </sheetData>
  <autoFilter ref="A4:O16"/>
  <dataValidations count="1">
    <dataValidation sqref="C5:C1000" showDropDown="0" showInputMessage="0" showErrorMessage="0" allowBlank="1" type="list">
      <formula1>"BM,BC,ES"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12" customWidth="1" min="3" max="3"/>
    <col width="11" customWidth="1" min="4" max="4"/>
    <col width="10" customWidth="1" min="5" max="5"/>
    <col width="12" customWidth="1" min="6" max="6"/>
    <col width="10" customWidth="1" min="7" max="7"/>
    <col width="11" customWidth="1" min="8" max="8"/>
    <col width="18" customWidth="1" min="9" max="9"/>
  </cols>
  <sheetData>
    <row r="1">
      <c r="A1" s="1" t="inlineStr">
        <is>
          <t>REKAP MINGGUAN OTOMATIS</t>
        </is>
      </c>
    </row>
    <row r="2">
      <c r="A2" s="2" t="inlineStr">
        <is>
          <t>⚠ DATA DUMMY • isi tanggal awal &amp; akhir minggu (sel B3, D3)</t>
        </is>
      </c>
    </row>
    <row r="3">
      <c r="A3" t="inlineStr">
        <is>
          <t>Mulai</t>
        </is>
      </c>
      <c r="B3" s="12" t="n">
        <v>46314</v>
      </c>
      <c r="C3" t="inlineStr">
        <is>
          <t>Akhir</t>
        </is>
      </c>
      <c r="D3" s="12" t="n">
        <v>46320</v>
      </c>
    </row>
    <row r="4" ht="42" customHeight="1">
      <c r="A4" s="3" t="inlineStr">
        <is>
          <t>Nama</t>
        </is>
      </c>
      <c r="B4" s="3" t="inlineStr">
        <is>
          <t>Jabatan</t>
        </is>
      </c>
      <c r="C4" s="3" t="inlineStr">
        <is>
          <t>Prospek Baru</t>
        </is>
      </c>
      <c r="D4" s="3" t="inlineStr">
        <is>
          <t>Follow-up</t>
        </is>
      </c>
      <c r="E4" s="3" t="inlineStr">
        <is>
          <t>Calling</t>
        </is>
      </c>
      <c r="F4" s="3" t="inlineStr">
        <is>
          <t>Presentasi</t>
        </is>
      </c>
      <c r="G4" s="3" t="inlineStr">
        <is>
          <t>Closing</t>
        </is>
      </c>
      <c r="H4" s="3" t="inlineStr">
        <is>
          <t>Hari Lapor</t>
        </is>
      </c>
      <c r="I4" s="3" t="inlineStr">
        <is>
          <t>Konversi (Closing/Presentasi)</t>
        </is>
      </c>
    </row>
    <row r="5">
      <c r="A5" s="7" t="inlineStr">
        <is>
          <t>Nur Aisyah</t>
        </is>
      </c>
      <c r="B5" s="7" t="inlineStr">
        <is>
          <t>ES</t>
        </is>
      </c>
      <c r="C5" s="7">
        <f>SUMIFS(Harian!$E$5:$E$1000,Harian!$B$5:$B$1000,$A5,Harian!$A$5:$A$1000,"&gt;="&amp;$B$3,Harian!$A$5:$A$1000,"&lt;="&amp;$D$3)</f>
        <v/>
      </c>
      <c r="D5" s="7">
        <f>SUMIFS(Harian!$G$5:$G$1000,Harian!$B$5:$B$1000,$A5,Harian!$A$5:$A$1000,"&gt;="&amp;$B$3,Harian!$A$5:$A$1000,"&lt;="&amp;$D$3)</f>
        <v/>
      </c>
      <c r="E5" s="7">
        <f>SUMIFS(Harian!$H$5:$H$1000,Harian!$B$5:$B$1000,$A5,Harian!$A$5:$A$1000,"&gt;="&amp;$B$3,Harian!$A$5:$A$1000,"&lt;="&amp;$D$3)</f>
        <v/>
      </c>
      <c r="F5" s="7">
        <f>SUMIFS(Harian!$I$5:$I$1000,Harian!$B$5:$B$1000,$A5,Harian!$A$5:$A$1000,"&gt;="&amp;$B$3,Harian!$A$5:$A$1000,"&lt;="&amp;$D$3)</f>
        <v/>
      </c>
      <c r="G5" s="7">
        <f>SUMIFS(Harian!$J$5:$J$1000,Harian!$B$5:$B$1000,$A5,Harian!$A$5:$A$1000,"&gt;="&amp;$B$3,Harian!$A$5:$A$1000,"&lt;="&amp;$D$3)</f>
        <v/>
      </c>
      <c r="H5" s="7">
        <f>COUNTIFS(Harian!$B$5:$B$1000,$A5,Harian!$A$5:$A$1000,"&gt;="&amp;$B$3,Harian!$A$5:$A$1000,"&lt;="&amp;$D$3)</f>
        <v/>
      </c>
      <c r="I5" s="13">
        <f>IF(F5=0,0,G5/F5)</f>
        <v/>
      </c>
    </row>
    <row r="6">
      <c r="A6" s="7" t="inlineStr">
        <is>
          <t>Bima Prakoso</t>
        </is>
      </c>
      <c r="B6" s="7" t="inlineStr">
        <is>
          <t>ES</t>
        </is>
      </c>
      <c r="C6" s="7">
        <f>SUMIFS(Harian!$E$5:$E$1000,Harian!$B$5:$B$1000,$A6,Harian!$A$5:$A$1000,"&gt;="&amp;$B$3,Harian!$A$5:$A$1000,"&lt;="&amp;$D$3)</f>
        <v/>
      </c>
      <c r="D6" s="7">
        <f>SUMIFS(Harian!$G$5:$G$1000,Harian!$B$5:$B$1000,$A6,Harian!$A$5:$A$1000,"&gt;="&amp;$B$3,Harian!$A$5:$A$1000,"&lt;="&amp;$D$3)</f>
        <v/>
      </c>
      <c r="E6" s="7">
        <f>SUMIFS(Harian!$H$5:$H$1000,Harian!$B$5:$B$1000,$A6,Harian!$A$5:$A$1000,"&gt;="&amp;$B$3,Harian!$A$5:$A$1000,"&lt;="&amp;$D$3)</f>
        <v/>
      </c>
      <c r="F6" s="7">
        <f>SUMIFS(Harian!$I$5:$I$1000,Harian!$B$5:$B$1000,$A6,Harian!$A$5:$A$1000,"&gt;="&amp;$B$3,Harian!$A$5:$A$1000,"&lt;="&amp;$D$3)</f>
        <v/>
      </c>
      <c r="G6" s="7">
        <f>SUMIFS(Harian!$J$5:$J$1000,Harian!$B$5:$B$1000,$A6,Harian!$A$5:$A$1000,"&gt;="&amp;$B$3,Harian!$A$5:$A$1000,"&lt;="&amp;$D$3)</f>
        <v/>
      </c>
      <c r="H6" s="7">
        <f>COUNTIFS(Harian!$B$5:$B$1000,$A6,Harian!$A$5:$A$1000,"&gt;="&amp;$B$3,Harian!$A$5:$A$1000,"&lt;="&amp;$D$3)</f>
        <v/>
      </c>
      <c r="I6" s="13">
        <f>IF(F6=0,0,G6/F6)</f>
        <v/>
      </c>
    </row>
    <row r="7">
      <c r="A7" s="7" t="inlineStr">
        <is>
          <t>Dewi Lestari</t>
        </is>
      </c>
      <c r="B7" s="7" t="inlineStr">
        <is>
          <t>ES</t>
        </is>
      </c>
      <c r="C7" s="7">
        <f>SUMIFS(Harian!$E$5:$E$1000,Harian!$B$5:$B$1000,$A7,Harian!$A$5:$A$1000,"&gt;="&amp;$B$3,Harian!$A$5:$A$1000,"&lt;="&amp;$D$3)</f>
        <v/>
      </c>
      <c r="D7" s="7">
        <f>SUMIFS(Harian!$G$5:$G$1000,Harian!$B$5:$B$1000,$A7,Harian!$A$5:$A$1000,"&gt;="&amp;$B$3,Harian!$A$5:$A$1000,"&lt;="&amp;$D$3)</f>
        <v/>
      </c>
      <c r="E7" s="7">
        <f>SUMIFS(Harian!$H$5:$H$1000,Harian!$B$5:$B$1000,$A7,Harian!$A$5:$A$1000,"&gt;="&amp;$B$3,Harian!$A$5:$A$1000,"&lt;="&amp;$D$3)</f>
        <v/>
      </c>
      <c r="F7" s="7">
        <f>SUMIFS(Harian!$I$5:$I$1000,Harian!$B$5:$B$1000,$A7,Harian!$A$5:$A$1000,"&gt;="&amp;$B$3,Harian!$A$5:$A$1000,"&lt;="&amp;$D$3)</f>
        <v/>
      </c>
      <c r="G7" s="7">
        <f>SUMIFS(Harian!$J$5:$J$1000,Harian!$B$5:$B$1000,$A7,Harian!$A$5:$A$1000,"&gt;="&amp;$B$3,Harian!$A$5:$A$1000,"&lt;="&amp;$D$3)</f>
        <v/>
      </c>
      <c r="H7" s="7">
        <f>COUNTIFS(Harian!$B$5:$B$1000,$A7,Harian!$A$5:$A$1000,"&gt;="&amp;$B$3,Harian!$A$5:$A$1000,"&lt;="&amp;$D$3)</f>
        <v/>
      </c>
      <c r="I7" s="13">
        <f>IF(F7=0,0,G7/F7)</f>
        <v/>
      </c>
    </row>
    <row r="8">
      <c r="A8" s="7" t="inlineStr">
        <is>
          <t>Siti Aminah</t>
        </is>
      </c>
      <c r="B8" s="7" t="inlineStr">
        <is>
          <t>BC</t>
        </is>
      </c>
      <c r="C8" s="7">
        <f>SUMIFS(Harian!$E$5:$E$1000,Harian!$B$5:$B$1000,$A8,Harian!$A$5:$A$1000,"&gt;="&amp;$B$3,Harian!$A$5:$A$1000,"&lt;="&amp;$D$3)</f>
        <v/>
      </c>
      <c r="D8" s="7">
        <f>SUMIFS(Harian!$G$5:$G$1000,Harian!$B$5:$B$1000,$A8,Harian!$A$5:$A$1000,"&gt;="&amp;$B$3,Harian!$A$5:$A$1000,"&lt;="&amp;$D$3)</f>
        <v/>
      </c>
      <c r="E8" s="7">
        <f>SUMIFS(Harian!$H$5:$H$1000,Harian!$B$5:$B$1000,$A8,Harian!$A$5:$A$1000,"&gt;="&amp;$B$3,Harian!$A$5:$A$1000,"&lt;="&amp;$D$3)</f>
        <v/>
      </c>
      <c r="F8" s="7">
        <f>SUMIFS(Harian!$I$5:$I$1000,Harian!$B$5:$B$1000,$A8,Harian!$A$5:$A$1000,"&gt;="&amp;$B$3,Harian!$A$5:$A$1000,"&lt;="&amp;$D$3)</f>
        <v/>
      </c>
      <c r="G8" s="7">
        <f>SUMIFS(Harian!$J$5:$J$1000,Harian!$B$5:$B$1000,$A8,Harian!$A$5:$A$1000,"&gt;="&amp;$B$3,Harian!$A$5:$A$1000,"&lt;="&amp;$D$3)</f>
        <v/>
      </c>
      <c r="H8" s="7">
        <f>COUNTIFS(Harian!$B$5:$B$1000,$A8,Harian!$A$5:$A$1000,"&gt;="&amp;$B$3,Harian!$A$5:$A$1000,"&lt;="&amp;$D$3)</f>
        <v/>
      </c>
      <c r="I8" s="13">
        <f>IF(F8=0,0,G8/F8)</f>
        <v/>
      </c>
    </row>
    <row r="9">
      <c r="A9" s="14" t="inlineStr">
        <is>
          <t>(tambah baris &amp; salin rumus untuk anggota lain)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1" customWidth="1" min="3" max="3"/>
    <col width="12" customWidth="1" min="4" max="4"/>
    <col width="13" customWidth="1" min="5" max="5"/>
    <col width="13" customWidth="1" min="6" max="6"/>
    <col width="12" customWidth="1" min="7" max="7"/>
    <col width="13" customWidth="1" min="8" max="8"/>
    <col width="10" customWidth="1" min="9" max="9"/>
    <col width="9" customWidth="1" min="10" max="10"/>
    <col width="45" customWidth="1" min="11" max="11"/>
  </cols>
  <sheetData>
    <row r="1">
      <c r="A1" s="1" t="inlineStr">
        <is>
          <t>TARGET vs REALISASI BULANAN SAMPAI SYAWAL</t>
        </is>
      </c>
    </row>
    <row r="2">
      <c r="A2" s="2" t="inlineStr">
        <is>
          <t>⚠ DATA DUMMY</t>
        </is>
      </c>
    </row>
    <row r="4" ht="42" customHeight="1">
      <c r="A4" s="3" t="inlineStr">
        <is>
          <t>Bulan</t>
        </is>
      </c>
      <c r="B4" s="3" t="inlineStr">
        <is>
          <t>Produk</t>
        </is>
      </c>
      <c r="C4" s="3" t="inlineStr">
        <is>
          <t>Target DS</t>
        </is>
      </c>
      <c r="D4" s="3" t="inlineStr">
        <is>
          <t>Realisasi DS</t>
        </is>
      </c>
      <c r="E4" s="3" t="inlineStr">
        <is>
          <t>Target Referral</t>
        </is>
      </c>
      <c r="F4" s="3" t="inlineStr">
        <is>
          <t>Realisasi Referral</t>
        </is>
      </c>
      <c r="G4" s="3" t="inlineStr">
        <is>
          <t>Total Target</t>
        </is>
      </c>
      <c r="H4" s="3" t="inlineStr">
        <is>
          <t>Total Realisasi</t>
        </is>
      </c>
      <c r="I4" s="3" t="inlineStr">
        <is>
          <t>Selisih</t>
        </is>
      </c>
      <c r="J4" s="3" t="inlineStr">
        <is>
          <t>% Capai</t>
        </is>
      </c>
      <c r="K4" s="3" t="inlineStr">
        <is>
          <t>Strategi Tutup Kekurangan</t>
        </is>
      </c>
    </row>
    <row r="5">
      <c r="A5" s="8" t="inlineStr">
        <is>
          <t>Okt 2026</t>
        </is>
      </c>
      <c r="B5" s="8" t="inlineStr">
        <is>
          <t>Easy Umrah</t>
        </is>
      </c>
      <c r="C5" s="8" t="n">
        <v>30</v>
      </c>
      <c r="D5" s="8" t="n">
        <v>24</v>
      </c>
      <c r="E5" s="8" t="n">
        <v>15</v>
      </c>
      <c r="F5" s="8" t="n">
        <v>10</v>
      </c>
      <c r="G5" s="7">
        <f>C5+E5</f>
        <v/>
      </c>
      <c r="H5" s="7">
        <f>D5+F5</f>
        <v/>
      </c>
      <c r="I5" s="7">
        <f>H5-G5</f>
        <v/>
      </c>
      <c r="J5" s="13">
        <f>IF(G5=0,0,H5/G5)</f>
        <v/>
      </c>
      <c r="K5" s="8" t="inlineStr">
        <is>
          <t>Gathering + FU prospek panas</t>
        </is>
      </c>
    </row>
    <row r="6">
      <c r="A6" s="8" t="inlineStr">
        <is>
          <t>Nov 2026</t>
        </is>
      </c>
      <c r="B6" s="8" t="inlineStr">
        <is>
          <t>Easy Umrah</t>
        </is>
      </c>
      <c r="C6" s="8" t="n">
        <v>35</v>
      </c>
      <c r="D6" s="8" t="n">
        <v>0</v>
      </c>
      <c r="E6" s="8" t="n">
        <v>18</v>
      </c>
      <c r="F6" s="8" t="n">
        <v>0</v>
      </c>
      <c r="G6" s="7">
        <f>C6+E6</f>
        <v/>
      </c>
      <c r="H6" s="7">
        <f>D6+F6</f>
        <v/>
      </c>
      <c r="I6" s="7">
        <f>H6-G6</f>
        <v/>
      </c>
      <c r="J6" s="13">
        <f>IF(G6=0,0,H6/G6)</f>
        <v/>
      </c>
      <c r="K6" s="8" t="inlineStr">
        <is>
          <t>Syiar akbar &amp; promo early bird</t>
        </is>
      </c>
    </row>
    <row r="7">
      <c r="A7" s="8" t="inlineStr">
        <is>
          <t>Des 2026</t>
        </is>
      </c>
      <c r="B7" s="8" t="inlineStr">
        <is>
          <t>Easy Umrah</t>
        </is>
      </c>
      <c r="C7" s="8" t="n">
        <v>40</v>
      </c>
      <c r="D7" s="8" t="n">
        <v>0</v>
      </c>
      <c r="E7" s="8" t="n">
        <v>20</v>
      </c>
      <c r="F7" s="8" t="n">
        <v>0</v>
      </c>
      <c r="G7" s="7">
        <f>C7+E7</f>
        <v/>
      </c>
      <c r="H7" s="7">
        <f>D7+F7</f>
        <v/>
      </c>
      <c r="I7" s="7">
        <f>H7-G7</f>
        <v/>
      </c>
      <c r="J7" s="13">
        <f>IF(G7=0,0,H7/G7)</f>
        <v/>
      </c>
      <c r="K7" s="8" t="inlineStr">
        <is>
          <t>Paket libur akhir tahun</t>
        </is>
      </c>
    </row>
    <row r="8">
      <c r="A8" s="8" t="inlineStr">
        <is>
          <t>Jan 2027</t>
        </is>
      </c>
      <c r="B8" s="8" t="inlineStr">
        <is>
          <t>Easy Umrah</t>
        </is>
      </c>
      <c r="C8" s="8" t="n">
        <v>40</v>
      </c>
      <c r="D8" s="8" t="n">
        <v>0</v>
      </c>
      <c r="E8" s="8" t="n">
        <v>20</v>
      </c>
      <c r="F8" s="8" t="n">
        <v>0</v>
      </c>
      <c r="G8" s="7">
        <f>C8+E8</f>
        <v/>
      </c>
      <c r="H8" s="7">
        <f>D8+F8</f>
        <v/>
      </c>
      <c r="I8" s="7">
        <f>H8-G8</f>
        <v/>
      </c>
      <c r="J8" s="13">
        <f>IF(G8=0,0,H8/G8)</f>
        <v/>
      </c>
      <c r="K8" s="8" t="inlineStr"/>
    </row>
    <row r="9">
      <c r="A9" s="8" t="inlineStr">
        <is>
          <t>Feb 2027</t>
        </is>
      </c>
      <c r="B9" s="8" t="inlineStr">
        <is>
          <t>Easy Hajj</t>
        </is>
      </c>
      <c r="C9" s="8" t="n">
        <v>25</v>
      </c>
      <c r="D9" s="8" t="n">
        <v>0</v>
      </c>
      <c r="E9" s="8" t="n">
        <v>12</v>
      </c>
      <c r="F9" s="8" t="n">
        <v>0</v>
      </c>
      <c r="G9" s="7">
        <f>C9+E9</f>
        <v/>
      </c>
      <c r="H9" s="7">
        <f>D9+F9</f>
        <v/>
      </c>
      <c r="I9" s="7">
        <f>H9-G9</f>
        <v/>
      </c>
      <c r="J9" s="13">
        <f>IF(G9=0,0,H9/G9)</f>
        <v/>
      </c>
      <c r="K9" s="8" t="inlineStr">
        <is>
          <t>Sosialisasi Easy Hajj</t>
        </is>
      </c>
    </row>
    <row r="10">
      <c r="A10" s="8" t="inlineStr">
        <is>
          <t>Mar 2027 (Syawal)</t>
        </is>
      </c>
      <c r="B10" s="8" t="inlineStr">
        <is>
          <t>Easy Umrah</t>
        </is>
      </c>
      <c r="C10" s="8" t="n">
        <v>30</v>
      </c>
      <c r="D10" s="8" t="n">
        <v>0</v>
      </c>
      <c r="E10" s="8" t="n">
        <v>15</v>
      </c>
      <c r="F10" s="8" t="n">
        <v>0</v>
      </c>
      <c r="G10" s="7">
        <f>C10+E10</f>
        <v/>
      </c>
      <c r="H10" s="7">
        <f>D10+F10</f>
        <v/>
      </c>
      <c r="I10" s="7">
        <f>H10-G10</f>
        <v/>
      </c>
      <c r="J10" s="13">
        <f>IF(G10=0,0,H10/G10)</f>
        <v/>
      </c>
      <c r="K10" s="8" t="inlineStr">
        <is>
          <t>Penutupan periode</t>
        </is>
      </c>
    </row>
    <row r="11">
      <c r="A11" s="10" t="inlineStr">
        <is>
          <t>TOTAL</t>
        </is>
      </c>
      <c r="C11" s="10">
        <f>SUM(C5:C10)</f>
        <v/>
      </c>
      <c r="D11" s="10">
        <f>SUM(D5:D10)</f>
        <v/>
      </c>
      <c r="E11" s="10">
        <f>SUM(E5:E10)</f>
        <v/>
      </c>
      <c r="F11" s="10">
        <f>SUM(F5:F10)</f>
        <v/>
      </c>
      <c r="G11" s="10">
        <f>SUM(G5:G10)</f>
        <v/>
      </c>
      <c r="H11" s="10">
        <f>SUM(H5:H10)</f>
        <v/>
      </c>
      <c r="I11" s="10">
        <f>SUM(I5:I10)</f>
        <v/>
      </c>
      <c r="J11" s="15">
        <f>IF(G11=0,0,H11/G11)</f>
        <v/>
      </c>
    </row>
    <row r="13">
      <c r="A13" s="14" t="inlineStr">
        <is>
          <t>Catatan: Total = DS + Referral. Pastikan 1 transaksi tidak dimasukkan di kedua kolom.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9" customWidth="1" min="5" max="5"/>
  </cols>
  <sheetData>
    <row r="1">
      <c r="A1" s="1" t="inlineStr">
        <is>
          <t>REKAP OTOMATIS</t>
        </is>
      </c>
    </row>
    <row r="2">
      <c r="A2" s="2" t="inlineStr">
        <is>
          <t>⚠ DATA DUMMY • rumus membaca sheet Anggota</t>
        </is>
      </c>
    </row>
    <row r="4" ht="42" customHeight="1">
      <c r="A4" s="3" t="inlineStr">
        <is>
          <t>Status</t>
        </is>
      </c>
      <c r="B4" s="3" t="inlineStr">
        <is>
          <t>BM</t>
        </is>
      </c>
      <c r="C4" s="3" t="inlineStr">
        <is>
          <t>BC</t>
        </is>
      </c>
      <c r="D4" s="3" t="inlineStr">
        <is>
          <t>ES</t>
        </is>
      </c>
      <c r="E4" s="3" t="inlineStr">
        <is>
          <t>Total</t>
        </is>
      </c>
    </row>
    <row r="5">
      <c r="A5" t="inlineStr">
        <is>
          <t>Aktif - Capai Target</t>
        </is>
      </c>
      <c r="B5">
        <f>COUNTIFS(Anggota!$E$5:$E$204,$A5,Anggota!$C$5:$C$204,"BM")</f>
        <v/>
      </c>
      <c r="C5">
        <f>COUNTIFS(Anggota!$E$5:$E$204,$A5,Anggota!$C$5:$C$204,"BC")</f>
        <v/>
      </c>
      <c r="D5">
        <f>COUNTIFS(Anggota!$E$5:$E$204,$A5,Anggota!$C$5:$C$204,"ES")</f>
        <v/>
      </c>
      <c r="E5">
        <f>SUM(B5:D5)</f>
        <v/>
      </c>
    </row>
    <row r="6">
      <c r="A6" t="inlineStr">
        <is>
          <t>Aktif - Belum Capai</t>
        </is>
      </c>
      <c r="B6">
        <f>COUNTIFS(Anggota!$E$5:$E$204,$A6,Anggota!$C$5:$C$204,"BM")</f>
        <v/>
      </c>
      <c r="C6">
        <f>COUNTIFS(Anggota!$E$5:$E$204,$A6,Anggota!$C$5:$C$204,"BC")</f>
        <v/>
      </c>
      <c r="D6">
        <f>COUNTIFS(Anggota!$E$5:$E$204,$A6,Anggota!$C$5:$C$204,"ES")</f>
        <v/>
      </c>
      <c r="E6">
        <f>SUM(B6:D6)</f>
        <v/>
      </c>
    </row>
    <row r="7">
      <c r="A7" t="inlineStr">
        <is>
          <t>Tidak Aktif</t>
        </is>
      </c>
      <c r="B7">
        <f>COUNTIFS(Anggota!$E$5:$E$204,$A7,Anggota!$C$5:$C$204,"BM")</f>
        <v/>
      </c>
      <c r="C7">
        <f>COUNTIFS(Anggota!$E$5:$E$204,$A7,Anggota!$C$5:$C$204,"BC")</f>
        <v/>
      </c>
      <c r="D7">
        <f>COUNTIFS(Anggota!$E$5:$E$204,$A7,Anggota!$C$5:$C$204,"ES")</f>
        <v/>
      </c>
      <c r="E7">
        <f>SUM(B7:D7)</f>
        <v/>
      </c>
    </row>
    <row r="8">
      <c r="A8" t="inlineStr">
        <is>
          <t>Aktivasi Ulang</t>
        </is>
      </c>
      <c r="B8">
        <f>COUNTIFS(Anggota!$E$5:$E$204,$A8,Anggota!$C$5:$C$204,"BM")</f>
        <v/>
      </c>
      <c r="C8">
        <f>COUNTIFS(Anggota!$E$5:$E$204,$A8,Anggota!$C$5:$C$204,"BC")</f>
        <v/>
      </c>
      <c r="D8">
        <f>COUNTIFS(Anggota!$E$5:$E$204,$A8,Anggota!$C$5:$C$204,"ES")</f>
        <v/>
      </c>
      <c r="E8">
        <f>SUM(B8:D8)</f>
        <v/>
      </c>
    </row>
    <row r="9">
      <c r="A9" s="10" t="inlineStr">
        <is>
          <t>TOTAL</t>
        </is>
      </c>
      <c r="B9" s="10">
        <f>SUM(B5:B8)</f>
        <v/>
      </c>
      <c r="C9" s="10">
        <f>SUM(C5:C8)</f>
        <v/>
      </c>
      <c r="D9" s="10">
        <f>SUM(D5:D8)</f>
        <v/>
      </c>
      <c r="E9" s="10">
        <f>SUM(E5:E8)</f>
        <v/>
      </c>
    </row>
    <row r="11">
      <c r="A11" t="inlineStr">
        <is>
          <t>Target DS (jamaah)</t>
        </is>
      </c>
      <c r="B11">
        <f>SUM(Anggota!F5:F204)</f>
        <v/>
      </c>
    </row>
    <row r="12">
      <c r="A12" t="inlineStr">
        <is>
          <t>Realisasi DS (jamaah)</t>
        </is>
      </c>
      <c r="B12">
        <f>SUM(Anggota!G5:G204)</f>
        <v/>
      </c>
    </row>
    <row r="13">
      <c r="A13" t="inlineStr">
        <is>
          <t>% Capai DS</t>
        </is>
      </c>
      <c r="B13" s="15">
        <f>IF(B11=0,0,B12/B11)</f>
        <v/>
      </c>
    </row>
    <row r="14">
      <c r="A14" t="inlineStr">
        <is>
          <t>Proyeksi Referral</t>
        </is>
      </c>
      <c r="B14">
        <f>Referral!H9</f>
        <v/>
      </c>
    </row>
    <row r="15">
      <c r="A15" t="inlineStr">
        <is>
          <t>Realisasi Referral</t>
        </is>
      </c>
      <c r="B15">
        <f>Referral!I9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2026-10-21T12:06:09Z</dcterms:created>
  <dcterms:modified xmlns:dcterms="http://purl.org/dc/terms/" xmlns:xsi="http://www.w3.org/2001/XMLSchema-instance" xsi:type="dcterms:W3CDTF">2026-10-21T12:06:09Z</dcterms:modified>
</cp:coreProperties>
</file>